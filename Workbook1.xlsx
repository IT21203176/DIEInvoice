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<sst xmlns="http://schemas.openxmlformats.org/spreadsheetml/2006/main" count="64" uniqueCount="64">
  <si>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 xml:space="preserve">Date </t>
  </si>
  <si>
    <t>Invoice No.</t>
  </si>
  <si>
    <t>Chassis No.</t>
  </si>
  <si>
    <t>DO Chargers</t>
  </si>
  <si>
    <t>PORT Chargers</t>
  </si>
  <si>
    <t>Bank Chargers</t>
  </si>
  <si>
    <t>Clearing</t>
  </si>
  <si>
    <t>Transport</t>
  </si>
  <si>
    <t>Penalty</t>
  </si>
  <si>
    <t>Total</t>
  </si>
  <si>
    <t>DE/CL/0001</t>
  </si>
  <si>
    <t>B43W-0308185  659cc SOLD"</t>
  </si>
  <si>
    <t>DE/CL/0002</t>
  </si>
  <si>
    <t>LA150S-2157794   658cc BROWN SOLD"</t>
  </si>
  <si>
    <t>DE/CL/0003</t>
  </si>
  <si>
    <t>MK33V-109248   658cc CLEAR SUREN"</t>
  </si>
  <si>
    <t>DE/CL/0004</t>
  </si>
  <si>
    <t>S500U-0010737 NUGEGODA SOLD"</t>
  </si>
  <si>
    <t>DE/CL/0005</t>
  </si>
  <si>
    <t>LA150S-2147235 JUNE 19 25 130 BLK SOLD ROYZO"</t>
  </si>
  <si>
    <t>DE/CL/0006</t>
  </si>
  <si>
    <t>MK33V-107613 GREEN GF - 120 MATARA"</t>
  </si>
  <si>
    <t>DE/CL/0007</t>
  </si>
  <si>
    <t>MK33V-109852  JUNE 174km SOLD ROYZO"</t>
  </si>
  <si>
    <t>DE/CL/0008</t>
  </si>
  <si>
    <t>MK33V-108289 WHITE XF 19 6 -148 Jithya"</t>
  </si>
  <si>
    <t>DE/CL/0009</t>
  </si>
  <si>
    <t>DA17V-657017 PA LTD 22 95 SOLD ROYZO AVISSAWELLA"</t>
  </si>
  <si>
    <t>DE/CL/0010</t>
  </si>
  <si>
    <t>DA17V-934573 2025 150 SOLD ASHIK"</t>
  </si>
  <si>
    <t>DE/CL/0011</t>
  </si>
  <si>
    <t>LA150S-2155461 130 BLUE"</t>
  </si>
  <si>
    <t>DE/CL/0012</t>
  </si>
  <si>
    <t>M900A-1005079 ROOMY SILVER 2022-09 SOLD"</t>
  </si>
  <si>
    <t>DE/CL/0013</t>
  </si>
  <si>
    <t>DA16T-647336 BLUE 2021-11 Sold Royso"</t>
  </si>
  <si>
    <t>DE/CL/0014</t>
  </si>
  <si>
    <t>MK33V-110893 - BLK SPACIA Royzo sold"</t>
  </si>
  <si>
    <t>DE/CL/0015</t>
  </si>
  <si>
    <r>
      <rPr>
        <b/>
        <i/>
        <sz val="12"/>
        <color theme="1"/>
        <rFont val="Calibri"/>
        <charset val="134"/>
        <scheme val="minor"/>
      </rPr>
      <t xml:space="preserve">DA17V-947992 PA LTD </t>
    </r>
    <r>
      <rPr>
        <b/>
        <i/>
        <sz val="12"/>
        <color rgb="FFFF0000"/>
        <rFont val="Calibri"/>
        <charset val="134"/>
        <scheme val="minor"/>
      </rPr>
      <t xml:space="preserve">royzo name </t>
    </r>
    <r>
      <rPr>
        <b/>
        <i/>
        <sz val="12"/>
        <color theme="1"/>
        <rFont val="Calibri"/>
        <charset val="134"/>
        <scheme val="minor"/>
      </rPr>
      <t>DEC 25 -----LOCAL"</t>
    </r>
  </si>
  <si>
    <t>DE/CL/0016</t>
  </si>
  <si>
    <r>
      <rPr>
        <b/>
        <i/>
        <sz val="12"/>
        <color theme="1"/>
        <rFont val="Calibri"/>
        <charset val="134"/>
        <scheme val="minor"/>
      </rPr>
      <t>DA16T-732440 - 2023-03</t>
    </r>
    <r>
      <rPr>
        <b/>
        <i/>
        <sz val="12"/>
        <color rgb="FFFF0000"/>
        <rFont val="Calibri"/>
        <charset val="134"/>
        <scheme val="minor"/>
      </rPr>
      <t xml:space="preserve"> royzo name</t>
    </r>
    <r>
      <rPr>
        <b/>
        <i/>
        <sz val="12"/>
        <color theme="1"/>
        <rFont val="Calibri"/>
        <charset val="134"/>
        <scheme val="minor"/>
      </rPr>
      <t xml:space="preserve"> 418 DEC 25 --------LOCAL"</t>
    </r>
  </si>
  <si>
    <t>DE/CL/0017</t>
  </si>
  <si>
    <r>
      <rPr>
        <b/>
        <i/>
        <sz val="12"/>
        <color theme="1"/>
        <rFont val="Calibri"/>
        <charset val="134"/>
        <scheme val="minor"/>
      </rPr>
      <t xml:space="preserve">DA16T-656795 2021-12 </t>
    </r>
    <r>
      <rPr>
        <b/>
        <i/>
        <sz val="12"/>
        <color rgb="FFFF0000"/>
        <rFont val="Calibri"/>
        <charset val="134"/>
        <scheme val="minor"/>
      </rPr>
      <t xml:space="preserve">royzo name </t>
    </r>
    <r>
      <rPr>
        <b/>
        <i/>
        <sz val="12"/>
        <color theme="1"/>
        <rFont val="Calibri"/>
        <charset val="134"/>
        <scheme val="minor"/>
      </rPr>
      <t>SOLD 565 NOV 25 -------- LOCAL"</t>
    </r>
  </si>
  <si>
    <t>DE/CL/0018</t>
  </si>
  <si>
    <t>DA17V-698405 DEC-2025 JOIN SILVER ### KEY OK"</t>
  </si>
  <si>
    <t>DE/CL/0019</t>
  </si>
  <si>
    <t>S500U-0009618 PIX 2022-10 95 DEC 25 ###  KEY OK SOLD"</t>
  </si>
  <si>
    <t>DE/CL/0020</t>
  </si>
  <si>
    <t>DA16T-730597 2022-12 7k na BLACK ### NA sold 24-2-26"</t>
  </si>
  <si>
    <t>DE/CL/0021</t>
  </si>
  <si>
    <t>DA17V-696124 PC 2023 5k ogi Wht"</t>
  </si>
  <si>
    <t>DE/CL/0022</t>
  </si>
  <si>
    <t>DA16T-744705 2023-03 - JAN 2026 95 LC FEB"</t>
  </si>
  <si>
    <t>DE/CL/0023</t>
  </si>
  <si>
    <t>S700M-0009832 - PIX VAN - JAN-2026 NOT LC SOLD"</t>
  </si>
  <si>
    <t>DE/CL/0024</t>
  </si>
  <si>
    <t>DA17V-682838 JOIN == 26 FeB 20 LC OYG"</t>
  </si>
  <si>
    <t>DE/CL/0025</t>
  </si>
  <si>
    <t>DA17V-691282 PA LTD == 26 FEB 20 LC OGG"</t>
  </si>
  <si>
    <t>DE/CL/0026</t>
  </si>
  <si>
    <t>S500P-0160310 FREEZ 22-7 FEB-26 OYA"</t>
  </si>
  <si>
    <t>DE/CL/0027</t>
  </si>
  <si>
    <t>LA350S-0420037 silver - 06-03 LC 115"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</si>
</sst>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3809]dd/mm/yyyy;@"/>
    <numFmt numFmtId="179" formatCode="_(* #,##0_);_(* \(#,##0\);_(* &quot;-&quot;??_);_(@_)"/>
  </numFmts>
  <fonts count="26">
    <font>
      <sz val="11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5FF2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79" fontId="4" fillId="5" borderId="1" xfId="1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79" fontId="3" fillId="2" borderId="1" xfId="1" applyNumberFormat="1" applyFont="1" applyFill="1" applyBorder="1" applyAlignment="1">
      <alignment vertical="center"/>
    </xf>
    <xf numFmtId="179" fontId="3" fillId="4" borderId="1" xfId="1" applyNumberFormat="1" applyFont="1" applyFill="1" applyBorder="1" applyAlignment="1">
      <alignment vertical="center"/>
    </xf>
    <xf numFmtId="179" fontId="3" fillId="5" borderId="1" xfId="1" applyNumberFormat="1" applyFont="1" applyFill="1" applyBorder="1" applyAlignment="1">
      <alignment vertical="center"/>
    </xf>
    <xf numFmtId="179" fontId="3" fillId="6" borderId="1" xfId="1" applyNumberFormat="1" applyFont="1" applyFill="1" applyBorder="1" applyAlignment="1">
      <alignment vertical="center"/>
    </xf>
    <xf numFmtId="179" fontId="3" fillId="7" borderId="1" xfId="1" applyNumberFormat="1" applyFont="1" applyFill="1" applyBorder="1" applyAlignment="1">
      <alignment vertical="center"/>
    </xf>
    <xf numFmtId="179" fontId="3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L5" sqref="L5"/>
    </sheetView>
  </sheetViews>
  <sheetFormatPr defaultColWidth="8.88888888888889" defaultRowHeight="14.4"/>
  <cols>
    <col min="2" max="2" width="20.7777777777778" customWidth="1"/>
    <col min="3" max="3" width="12.6666666666667" customWidth="1"/>
    <col min="4" max="4" width="66.1111111111111" customWidth="1"/>
    <col min="5" max="5" width="11" customWidth="1"/>
    <col min="6" max="6" width="11.3333333333333" customWidth="1"/>
    <col min="7" max="7" width="12.4444444444444" customWidth="1"/>
    <col min="8" max="8" width="11.7777777777778" customWidth="1"/>
    <col min="9" max="9" width="15.2222222222222" customWidth="1"/>
    <col min="10" max="10" width="9.55555555555556" customWidth="1"/>
  </cols>
  <sheetData>
    <row r="1" ht="15.6" spans="1:11">
      <c r="A1" s="1">
        <v>28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9" t="s">
        <v>8</v>
      </c>
      <c r="K1" s="10" t="s">
        <v>9</v>
      </c>
    </row>
    <row r="2" ht="15.6" spans="1:11">
      <c r="A2" s="1"/>
      <c r="B2" s="2">
        <v>45811</v>
      </c>
      <c r="C2" s="3" t="s">
        <v>10</v>
      </c>
      <c r="D2" s="11" t="s">
        <v>11</v>
      </c>
      <c r="E2" s="12">
        <v>25000</v>
      </c>
      <c r="F2" s="13">
        <v>4963</v>
      </c>
      <c r="G2" s="14">
        <v>50</v>
      </c>
      <c r="H2" s="15">
        <v>40000</v>
      </c>
      <c r="I2" s="16">
        <v>27500</v>
      </c>
      <c r="J2" s="16"/>
      <c r="K2" s="17">
        <f t="shared" ref="K2:K28" si="0">SUM(E2:J2)</f>
        <v>97513</v>
      </c>
    </row>
    <row r="3" ht="15.6" spans="1:11">
      <c r="A3" s="1">
        <v>1</v>
      </c>
      <c r="B3" s="2">
        <v>45817</v>
      </c>
      <c r="C3" s="3" t="s">
        <v>12</v>
      </c>
      <c r="D3" s="11" t="s">
        <v>13</v>
      </c>
      <c r="E3" s="12">
        <v>24190</v>
      </c>
      <c r="F3" s="13">
        <v>4957</v>
      </c>
      <c r="G3" s="14">
        <v>50</v>
      </c>
      <c r="H3" s="15">
        <v>40000</v>
      </c>
      <c r="I3" s="16">
        <v>27500</v>
      </c>
      <c r="J3" s="16"/>
      <c r="K3" s="17">
        <f t="shared" si="0"/>
        <v>96697</v>
      </c>
    </row>
    <row r="4" ht="15.6" spans="1:11">
      <c r="A4" s="1">
        <v>2</v>
      </c>
      <c r="B4" s="2">
        <v>45817</v>
      </c>
      <c r="C4" s="3" t="s">
        <v>14</v>
      </c>
      <c r="D4" s="11" t="s">
        <v>15</v>
      </c>
      <c r="E4" s="12">
        <v>24190</v>
      </c>
      <c r="F4" s="13">
        <v>4957</v>
      </c>
      <c r="G4" s="14">
        <v>50</v>
      </c>
      <c r="H4" s="15">
        <v>40000</v>
      </c>
      <c r="I4" s="16">
        <v>27500</v>
      </c>
      <c r="J4" s="16"/>
      <c r="K4" s="17">
        <f t="shared" si="0"/>
        <v>96697</v>
      </c>
    </row>
    <row r="5" ht="15.6" spans="1:11">
      <c r="A5" s="1">
        <v>3</v>
      </c>
      <c r="B5" s="2">
        <v>45819</v>
      </c>
      <c r="C5" s="3" t="s">
        <v>16</v>
      </c>
      <c r="D5" s="11" t="s">
        <v>17</v>
      </c>
      <c r="E5" s="12">
        <v>17700</v>
      </c>
      <c r="F5" s="13">
        <v>4965</v>
      </c>
      <c r="G5" s="14">
        <v>50</v>
      </c>
      <c r="H5" s="15">
        <v>40000</v>
      </c>
      <c r="I5" s="16">
        <v>27500</v>
      </c>
      <c r="J5" s="16"/>
      <c r="K5" s="17">
        <f t="shared" si="0"/>
        <v>90215</v>
      </c>
    </row>
    <row r="6" ht="15.6" spans="1:11">
      <c r="A6" s="1">
        <v>4</v>
      </c>
      <c r="B6" s="2">
        <v>45874</v>
      </c>
      <c r="C6" s="3" t="s">
        <v>18</v>
      </c>
      <c r="D6" s="11" t="s">
        <v>19</v>
      </c>
      <c r="E6" s="12">
        <v>22420</v>
      </c>
      <c r="F6" s="13">
        <v>10964</v>
      </c>
      <c r="G6" s="14">
        <v>50</v>
      </c>
      <c r="H6" s="15">
        <v>40000</v>
      </c>
      <c r="I6" s="16">
        <v>27500</v>
      </c>
      <c r="J6" s="16"/>
      <c r="K6" s="17">
        <f t="shared" si="0"/>
        <v>100934</v>
      </c>
    </row>
    <row r="7" ht="15.6" spans="1:11">
      <c r="A7" s="1">
        <v>5</v>
      </c>
      <c r="B7" s="2">
        <v>45875</v>
      </c>
      <c r="C7" s="3" t="s">
        <v>20</v>
      </c>
      <c r="D7" s="11" t="s">
        <v>21</v>
      </c>
      <c r="E7" s="12">
        <v>22420</v>
      </c>
      <c r="F7" s="13">
        <v>4979</v>
      </c>
      <c r="G7" s="14">
        <v>50</v>
      </c>
      <c r="H7" s="15">
        <v>40000</v>
      </c>
      <c r="I7" s="16">
        <v>27500</v>
      </c>
      <c r="J7" s="16"/>
      <c r="K7" s="17">
        <f t="shared" si="0"/>
        <v>94949</v>
      </c>
    </row>
    <row r="8" ht="15.6" spans="1:11">
      <c r="A8" s="1">
        <v>6</v>
      </c>
      <c r="B8" s="2">
        <v>45875</v>
      </c>
      <c r="C8" s="3" t="s">
        <v>22</v>
      </c>
      <c r="D8" s="11" t="s">
        <v>23</v>
      </c>
      <c r="E8" s="12">
        <v>22420</v>
      </c>
      <c r="F8" s="13">
        <v>4979</v>
      </c>
      <c r="G8" s="14">
        <v>50</v>
      </c>
      <c r="H8" s="15">
        <v>40000</v>
      </c>
      <c r="I8" s="16">
        <v>27500</v>
      </c>
      <c r="J8" s="16"/>
      <c r="K8" s="17">
        <f t="shared" si="0"/>
        <v>94949</v>
      </c>
    </row>
    <row r="9" ht="15.6" spans="1:11">
      <c r="A9" s="1">
        <v>7</v>
      </c>
      <c r="B9" s="2">
        <v>45875</v>
      </c>
      <c r="C9" s="3" t="s">
        <v>24</v>
      </c>
      <c r="D9" s="11" t="s">
        <v>25</v>
      </c>
      <c r="E9" s="12">
        <v>22420</v>
      </c>
      <c r="F9" s="13">
        <v>4979</v>
      </c>
      <c r="G9" s="14">
        <v>50</v>
      </c>
      <c r="H9" s="15">
        <v>40000</v>
      </c>
      <c r="I9" s="16">
        <v>27500</v>
      </c>
      <c r="J9" s="16"/>
      <c r="K9" s="17">
        <f t="shared" si="0"/>
        <v>94949</v>
      </c>
    </row>
    <row r="10" ht="15.6" spans="1:11">
      <c r="A10" s="1">
        <v>8</v>
      </c>
      <c r="B10" s="2">
        <v>45916</v>
      </c>
      <c r="C10" s="3" t="s">
        <v>26</v>
      </c>
      <c r="D10" s="11" t="s">
        <v>27</v>
      </c>
      <c r="E10" s="12">
        <v>22420</v>
      </c>
      <c r="F10" s="13">
        <v>16681</v>
      </c>
      <c r="G10" s="14">
        <v>50</v>
      </c>
      <c r="H10" s="15">
        <v>40000</v>
      </c>
      <c r="I10" s="16">
        <v>27500</v>
      </c>
      <c r="J10" s="16"/>
      <c r="K10" s="17">
        <f t="shared" si="0"/>
        <v>106651</v>
      </c>
    </row>
    <row r="11" ht="15.6" spans="1:11">
      <c r="A11" s="1">
        <v>9</v>
      </c>
      <c r="B11" s="2">
        <v>45916</v>
      </c>
      <c r="C11" s="3" t="s">
        <v>28</v>
      </c>
      <c r="D11" s="11" t="s">
        <v>29</v>
      </c>
      <c r="E11" s="12">
        <v>24490</v>
      </c>
      <c r="F11" s="13">
        <v>16670</v>
      </c>
      <c r="G11" s="14">
        <v>50</v>
      </c>
      <c r="H11" s="15">
        <v>40000</v>
      </c>
      <c r="I11" s="16">
        <v>27500</v>
      </c>
      <c r="J11" s="16">
        <v>1250</v>
      </c>
      <c r="K11" s="17">
        <f t="shared" si="0"/>
        <v>109960</v>
      </c>
    </row>
    <row r="12" ht="15.6" spans="1:11">
      <c r="A12" s="1">
        <v>10</v>
      </c>
      <c r="B12" s="2">
        <v>45923</v>
      </c>
      <c r="C12" s="3" t="s">
        <v>30</v>
      </c>
      <c r="D12" s="11" t="s">
        <v>31</v>
      </c>
      <c r="E12" s="12">
        <v>22420</v>
      </c>
      <c r="F12" s="13">
        <v>15014</v>
      </c>
      <c r="G12" s="14">
        <v>50</v>
      </c>
      <c r="H12" s="15">
        <v>40000</v>
      </c>
      <c r="I12" s="16">
        <v>27500</v>
      </c>
      <c r="J12" s="16"/>
      <c r="K12" s="17">
        <f t="shared" si="0"/>
        <v>104984</v>
      </c>
    </row>
    <row r="13" ht="15.6" spans="1:11">
      <c r="A13" s="1">
        <v>11</v>
      </c>
      <c r="B13" s="2">
        <v>45933</v>
      </c>
      <c r="C13" s="3" t="s">
        <v>32</v>
      </c>
      <c r="D13" s="11" t="s">
        <v>33</v>
      </c>
      <c r="E13" s="12">
        <v>22420</v>
      </c>
      <c r="F13" s="13">
        <v>55064</v>
      </c>
      <c r="G13" s="14">
        <v>50</v>
      </c>
      <c r="H13" s="15">
        <v>40000</v>
      </c>
      <c r="I13" s="16">
        <v>27500</v>
      </c>
      <c r="J13" s="16"/>
      <c r="K13" s="17">
        <f t="shared" si="0"/>
        <v>145034</v>
      </c>
    </row>
    <row r="14" ht="15.6" spans="1:11">
      <c r="A14" s="1">
        <v>12</v>
      </c>
      <c r="B14" s="2">
        <v>45937</v>
      </c>
      <c r="C14" s="3" t="s">
        <v>34</v>
      </c>
      <c r="D14" s="11" t="s">
        <v>35</v>
      </c>
      <c r="E14" s="12">
        <v>22420</v>
      </c>
      <c r="F14" s="13">
        <v>78522</v>
      </c>
      <c r="G14" s="14">
        <v>50</v>
      </c>
      <c r="H14" s="15">
        <v>40000</v>
      </c>
      <c r="I14" s="16">
        <v>27500</v>
      </c>
      <c r="J14" s="16"/>
      <c r="K14" s="17">
        <f t="shared" si="0"/>
        <v>168492</v>
      </c>
    </row>
    <row r="15" ht="15.6" spans="1:11">
      <c r="A15" s="1">
        <v>13</v>
      </c>
      <c r="B15" s="2">
        <v>45940</v>
      </c>
      <c r="C15" s="3" t="s">
        <v>36</v>
      </c>
      <c r="D15" s="11" t="s">
        <v>37</v>
      </c>
      <c r="E15" s="12">
        <v>18153</v>
      </c>
      <c r="F15" s="13">
        <v>53362</v>
      </c>
      <c r="G15" s="14">
        <v>50</v>
      </c>
      <c r="H15" s="15">
        <v>40000</v>
      </c>
      <c r="I15" s="16">
        <v>27500</v>
      </c>
      <c r="J15" s="16"/>
      <c r="K15" s="17">
        <f t="shared" si="0"/>
        <v>139065</v>
      </c>
    </row>
    <row r="16" ht="15.6" spans="1:11">
      <c r="A16" s="1">
        <v>14</v>
      </c>
      <c r="B16" s="2">
        <v>45987</v>
      </c>
      <c r="C16" s="3" t="s">
        <v>38</v>
      </c>
      <c r="D16" s="18" t="s">
        <v>39</v>
      </c>
      <c r="E16" s="12">
        <v>18154</v>
      </c>
      <c r="F16" s="13">
        <v>5671</v>
      </c>
      <c r="G16" s="14">
        <v>50</v>
      </c>
      <c r="H16" s="15">
        <v>40000</v>
      </c>
      <c r="I16" s="16">
        <v>27500</v>
      </c>
      <c r="J16" s="16"/>
      <c r="K16" s="17">
        <f t="shared" si="0"/>
        <v>91375</v>
      </c>
    </row>
    <row r="17" ht="15.6" spans="1:11">
      <c r="A17" s="1">
        <v>15</v>
      </c>
      <c r="B17" s="2">
        <v>45999</v>
      </c>
      <c r="C17" s="3" t="s">
        <v>40</v>
      </c>
      <c r="D17" s="18" t="s">
        <v>41</v>
      </c>
      <c r="E17" s="12">
        <v>30238</v>
      </c>
      <c r="F17" s="13">
        <v>13272</v>
      </c>
      <c r="G17" s="14">
        <v>50</v>
      </c>
      <c r="H17" s="15">
        <v>40000</v>
      </c>
      <c r="I17" s="16">
        <v>27500</v>
      </c>
      <c r="J17" s="16"/>
      <c r="K17" s="17">
        <f t="shared" si="0"/>
        <v>111060</v>
      </c>
    </row>
    <row r="18" ht="15.6" spans="1:11">
      <c r="A18" s="1">
        <v>16</v>
      </c>
      <c r="B18" s="2">
        <v>46010</v>
      </c>
      <c r="C18" s="3" t="s">
        <v>42</v>
      </c>
      <c r="D18" s="18" t="s">
        <v>43</v>
      </c>
      <c r="E18" s="12">
        <v>22420</v>
      </c>
      <c r="F18" s="13">
        <v>37943</v>
      </c>
      <c r="G18" s="14">
        <v>50</v>
      </c>
      <c r="H18" s="15">
        <v>40000</v>
      </c>
      <c r="I18" s="16">
        <v>27500</v>
      </c>
      <c r="J18" s="16"/>
      <c r="K18" s="17">
        <f t="shared" si="0"/>
        <v>127913</v>
      </c>
    </row>
    <row r="19" ht="15.6" spans="1:11">
      <c r="A19" s="1">
        <v>17</v>
      </c>
      <c r="B19" s="2">
        <v>46021</v>
      </c>
      <c r="C19" s="3" t="s">
        <v>44</v>
      </c>
      <c r="D19" s="11" t="s">
        <v>45</v>
      </c>
      <c r="E19" s="12">
        <v>25000</v>
      </c>
      <c r="F19" s="13">
        <v>5693</v>
      </c>
      <c r="G19" s="14">
        <v>50</v>
      </c>
      <c r="H19" s="15">
        <v>40000</v>
      </c>
      <c r="I19" s="16">
        <v>27500</v>
      </c>
      <c r="J19" s="16"/>
      <c r="K19" s="17">
        <f t="shared" si="0"/>
        <v>98243</v>
      </c>
    </row>
    <row r="20" ht="15.6" spans="1:11">
      <c r="A20" s="1">
        <v>18</v>
      </c>
      <c r="B20" s="2">
        <v>46021</v>
      </c>
      <c r="C20" s="3" t="s">
        <v>46</v>
      </c>
      <c r="D20" s="11" t="s">
        <v>47</v>
      </c>
      <c r="E20" s="12">
        <v>25000</v>
      </c>
      <c r="F20" s="13">
        <v>5122</v>
      </c>
      <c r="G20" s="14">
        <v>50</v>
      </c>
      <c r="H20" s="15">
        <v>40000</v>
      </c>
      <c r="I20" s="16">
        <v>27500</v>
      </c>
      <c r="J20" s="16"/>
      <c r="K20" s="17">
        <f t="shared" si="0"/>
        <v>97672</v>
      </c>
    </row>
    <row r="21" ht="15.6" spans="1:11">
      <c r="A21" s="1">
        <v>19</v>
      </c>
      <c r="B21" s="2">
        <v>46062</v>
      </c>
      <c r="C21" s="3" t="s">
        <v>48</v>
      </c>
      <c r="D21" s="11" t="s">
        <v>49</v>
      </c>
      <c r="E21" s="12">
        <v>25000</v>
      </c>
      <c r="F21" s="13">
        <v>5119</v>
      </c>
      <c r="G21" s="14">
        <v>50</v>
      </c>
      <c r="H21" s="15">
        <v>40000</v>
      </c>
      <c r="I21" s="16">
        <v>27500</v>
      </c>
      <c r="J21" s="16"/>
      <c r="K21" s="17">
        <f t="shared" si="0"/>
        <v>97669</v>
      </c>
    </row>
    <row r="22" ht="15.6" spans="1:11">
      <c r="A22" s="1">
        <v>20</v>
      </c>
      <c r="B22" s="2">
        <v>46062</v>
      </c>
      <c r="C22" s="3" t="s">
        <v>50</v>
      </c>
      <c r="D22" s="11" t="s">
        <v>51</v>
      </c>
      <c r="E22" s="12">
        <v>25000</v>
      </c>
      <c r="F22" s="13">
        <v>5686</v>
      </c>
      <c r="G22" s="14">
        <v>50</v>
      </c>
      <c r="H22" s="15">
        <v>40000</v>
      </c>
      <c r="I22" s="16">
        <v>27500</v>
      </c>
      <c r="J22" s="16"/>
      <c r="K22" s="17">
        <f t="shared" si="0"/>
        <v>98236</v>
      </c>
    </row>
    <row r="23" ht="15.6" spans="1:11">
      <c r="A23" s="1">
        <v>22</v>
      </c>
      <c r="B23" s="2">
        <v>46090</v>
      </c>
      <c r="C23" s="3" t="s">
        <v>52</v>
      </c>
      <c r="D23" s="11" t="s">
        <v>53</v>
      </c>
      <c r="E23" s="12">
        <v>25000</v>
      </c>
      <c r="F23" s="13">
        <v>5145</v>
      </c>
      <c r="G23" s="14">
        <v>50</v>
      </c>
      <c r="H23" s="15">
        <v>40000</v>
      </c>
      <c r="I23" s="16">
        <v>27500</v>
      </c>
      <c r="J23" s="16"/>
      <c r="K23" s="17">
        <f t="shared" si="0"/>
        <v>97695</v>
      </c>
    </row>
    <row r="24" ht="15.6" spans="1:11">
      <c r="A24" s="1">
        <v>23</v>
      </c>
      <c r="B24" s="2">
        <v>46090</v>
      </c>
      <c r="C24" s="3" t="s">
        <v>54</v>
      </c>
      <c r="D24" s="11" t="s">
        <v>55</v>
      </c>
      <c r="E24" s="12">
        <v>25000</v>
      </c>
      <c r="F24" s="13">
        <v>5715</v>
      </c>
      <c r="G24" s="14">
        <v>50</v>
      </c>
      <c r="H24" s="15">
        <v>40000</v>
      </c>
      <c r="I24" s="16">
        <v>27500</v>
      </c>
      <c r="J24" s="16"/>
      <c r="K24" s="17">
        <f t="shared" si="0"/>
        <v>98265</v>
      </c>
    </row>
    <row r="25" ht="15.6" spans="1:11">
      <c r="A25" s="1">
        <v>24</v>
      </c>
      <c r="B25" s="2">
        <v>46099</v>
      </c>
      <c r="C25" s="3" t="s">
        <v>56</v>
      </c>
      <c r="D25" s="11" t="s">
        <v>57</v>
      </c>
      <c r="E25" s="12">
        <v>25000</v>
      </c>
      <c r="F25" s="13">
        <v>5719</v>
      </c>
      <c r="G25" s="14">
        <v>50</v>
      </c>
      <c r="H25" s="15">
        <v>40000</v>
      </c>
      <c r="I25" s="16">
        <v>27500</v>
      </c>
      <c r="J25" s="16"/>
      <c r="K25" s="17">
        <f t="shared" si="0"/>
        <v>98269</v>
      </c>
    </row>
    <row r="26" ht="15.6" spans="1:11">
      <c r="A26" s="1">
        <v>25</v>
      </c>
      <c r="B26" s="2">
        <v>46099</v>
      </c>
      <c r="C26" s="3" t="s">
        <v>58</v>
      </c>
      <c r="D26" s="11" t="s">
        <v>59</v>
      </c>
      <c r="E26" s="12">
        <v>25000</v>
      </c>
      <c r="F26" s="13">
        <v>5719</v>
      </c>
      <c r="G26" s="14">
        <v>50</v>
      </c>
      <c r="H26" s="15">
        <v>40000</v>
      </c>
      <c r="I26" s="16">
        <v>27500</v>
      </c>
      <c r="J26" s="16"/>
      <c r="K26" s="17">
        <f t="shared" si="0"/>
        <v>98269</v>
      </c>
    </row>
    <row r="27" ht="15.6" spans="1:11">
      <c r="A27" s="1">
        <v>26</v>
      </c>
      <c r="B27" s="2">
        <v>46105</v>
      </c>
      <c r="C27" s="3" t="s">
        <v>60</v>
      </c>
      <c r="D27" s="11" t="s">
        <v>61</v>
      </c>
      <c r="E27" s="12">
        <v>25000</v>
      </c>
      <c r="F27" s="13">
        <v>5776</v>
      </c>
      <c r="G27" s="14">
        <v>50</v>
      </c>
      <c r="H27" s="15">
        <v>40000</v>
      </c>
      <c r="I27" s="16">
        <v>27500</v>
      </c>
      <c r="J27" s="16"/>
      <c r="K27" s="17">
        <f t="shared" si="0"/>
        <v>98326</v>
      </c>
    </row>
    <row r="28" ht="15.6" spans="1:11">
      <c r="A28" s="1">
        <v>27</v>
      </c>
      <c r="B28" s="2">
        <v>46106</v>
      </c>
      <c r="C28" s="3" t="s">
        <v>62</v>
      </c>
      <c r="D28" s="11" t="s">
        <v>63</v>
      </c>
      <c r="E28" s="12">
        <v>25000</v>
      </c>
      <c r="F28" s="13">
        <v>4624</v>
      </c>
      <c r="G28" s="14">
        <v>50</v>
      </c>
      <c r="H28" s="15">
        <v>40000</v>
      </c>
      <c r="I28" s="16">
        <v>27500</v>
      </c>
      <c r="J28" s="16"/>
      <c r="K28" s="17">
        <f t="shared" si="0"/>
        <v>97174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2026-08-15T14:38:35Z</dcterms:created>
  <dcterms:modified xsi:type="dcterms:W3CDTF">2026-08-15T14:42:02Z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92ADD1997E3F4E17AF052B3008B1E8BA_11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